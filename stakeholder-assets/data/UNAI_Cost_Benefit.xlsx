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lexity &amp; Efficiency" sheetId="2" state="visible" r:id="rId4"/>
    <sheet name="Cost-Benefit" sheetId="3" state="visible" r:id="rId5"/>
    <sheet name="Run Metrics" sheetId="4" state="visible" r:id="rId6"/>
    <sheet name="Explainabil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<sst xmlns="http://schemas.openxmlformats.org/spreadsheetml/2006/main" count="163" uniqueCount="144">
  <si>
    <t xml:space="preserve">UNAI — Cost, Benefit &amp; Efficiency</t>
  </si>
  <si>
    <t xml:space="preserve">Companion to the UNAI Architecture document. Figures link from the other tabs.</t>
  </si>
  <si>
    <t xml:space="preserve">Headline metric</t>
  </si>
  <si>
    <t xml:space="preserve">Value</t>
  </si>
  <si>
    <t xml:space="preserve">Layer-complexity reduction (10-agent scale)</t>
  </si>
  <si>
    <t xml:space="preserve">Maintenance-hour reduction</t>
  </si>
  <si>
    <t xml:space="preserve">Agents deployed → used (measured disruption run)</t>
  </si>
  <si>
    <t xml:space="preserve">Schema re-maps eliminated (context switch)</t>
  </si>
  <si>
    <t xml:space="preserve">Year-1 investment</t>
  </si>
  <si>
    <t xml:space="preserve">Annual value — midpoint</t>
  </si>
  <si>
    <t xml:space="preserve">Payback (months, low)</t>
  </si>
  <si>
    <t xml:space="preserve">3-yr NPV midpoint</t>
  </si>
  <si>
    <t xml:space="preserve">Verdict: technically feasible today; ~90% complexity reduction at enterprise scale; 4–7 month payback.</t>
  </si>
  <si>
    <t xml:space="preserve">Architectural Complexity &amp; Maintenance — Gen 1 vs Gen 2</t>
  </si>
  <si>
    <t xml:space="preserve">Source: Superagent Technical Specification §4 (10-agent enterprise estate). Blue = input.</t>
  </si>
  <si>
    <t xml:space="preserve">Agent</t>
  </si>
  <si>
    <t xml:space="preserve">Domain</t>
  </si>
  <si>
    <t xml:space="preserve">Gen-1 layers</t>
  </si>
  <si>
    <t xml:space="preserve">Gen-1 maint (hrs/mo)</t>
  </si>
  <si>
    <t xml:space="preserve">Gen-2 layers (shared)</t>
  </si>
  <si>
    <t xml:space="preserve">Gen-2 maint (hrs/mo)</t>
  </si>
  <si>
    <t xml:space="preserve">Demand Forecasting</t>
  </si>
  <si>
    <t xml:space="preserve">Supply Chain</t>
  </si>
  <si>
    <t xml:space="preserve">Inventory Optimization</t>
  </si>
  <si>
    <t xml:space="preserve">Supplier Risk</t>
  </si>
  <si>
    <t xml:space="preserve">Procurement</t>
  </si>
  <si>
    <t xml:space="preserve">Logistics Tracking</t>
  </si>
  <si>
    <t xml:space="preserve">Logistics</t>
  </si>
  <si>
    <t xml:space="preserve">Production Scheduling</t>
  </si>
  <si>
    <t xml:space="preserve">Disruption Response</t>
  </si>
  <si>
    <t xml:space="preserve">Finance NL Query</t>
  </si>
  <si>
    <t xml:space="preserve">Finance</t>
  </si>
  <si>
    <t xml:space="preserve">Returns Optimization</t>
  </si>
  <si>
    <t xml:space="preserve">Maintenance Prediction</t>
  </si>
  <si>
    <t xml:space="preserve">Maintenance</t>
  </si>
  <si>
    <t xml:space="preserve">TOTAL</t>
  </si>
  <si>
    <t xml:space="preserve">Derived efficiency</t>
  </si>
  <si>
    <t xml:space="preserve">Gen-2 shared layers (built once)</t>
  </si>
  <si>
    <t xml:space="preserve">Gen-2 tool packs (lightweight, 1 per agent)</t>
  </si>
  <si>
    <t xml:space="preserve">Gen-1 layer implementations (10×7)</t>
  </si>
  <si>
    <t xml:space="preserve">Layer-implementation reduction (layers only, 70→7)</t>
  </si>
  <si>
    <t xml:space="preserve">Reduction incl. tool packs (70→17, conservative)</t>
  </si>
  <si>
    <t xml:space="preserve">Gen-1 maintenance (hrs/mo)</t>
  </si>
  <si>
    <t xml:space="preserve">Gen-2 maintenance (hrs/mo)</t>
  </si>
  <si>
    <t xml:space="preserve">Maintenance reduction</t>
  </si>
  <si>
    <t xml:space="preserve">Cost, Benefit &amp; ROI</t>
  </si>
  <si>
    <t xml:space="preserve">Source: Superagent Technical Specification §9. Blue = input. All totals/ROI are formulas.</t>
  </si>
  <si>
    <t xml:space="preserve">Item</t>
  </si>
  <si>
    <t xml:space="preserve">Detail</t>
  </si>
  <si>
    <t xml:space="preserve">Low ($M)</t>
  </si>
  <si>
    <t xml:space="preserve">High ($M)</t>
  </si>
  <si>
    <t xml:space="preserve">Build — engineering (8 FTE × 16 wk)</t>
  </si>
  <si>
    <t xml:space="preserve">Build — platform architecture + Mistral setup + prototyping</t>
  </si>
  <si>
    <t xml:space="preserve">Build — SAP sandbox + BTP licenses</t>
  </si>
  <si>
    <t xml:space="preserve">Build — security audit + pen test</t>
  </si>
  <si>
    <t xml:space="preserve">Build — PM + QA</t>
  </si>
  <si>
    <t xml:space="preserve">Build subtotal</t>
  </si>
  <si>
    <t xml:space="preserve">Run — Mistral inference (Small 80% / Large 20%; API or self-host GPU)</t>
  </si>
  <si>
    <t xml:space="preserve">Run — Kubernetes compute (orchestrator + agents)</t>
  </si>
  <si>
    <t xml:space="preserve">Run — PostgreSQL + pgvector</t>
  </si>
  <si>
    <t xml:space="preserve">Run — Redis + NATS + networking</t>
  </si>
  <si>
    <t xml:space="preserve">Run — Monitoring + logging + PII redaction</t>
  </si>
  <si>
    <t xml:space="preserve">Run — maintenance team (2 FTE)</t>
  </si>
  <si>
    <t xml:space="preserve">Annual run subtotal</t>
  </si>
  <si>
    <t xml:space="preserve">Year-1 investment (build + 1yr run)</t>
  </si>
  <si>
    <t xml:space="preserve">Annual value created</t>
  </si>
  <si>
    <t xml:space="preserve">Value driver</t>
  </si>
  <si>
    <t xml:space="preserve">Basis</t>
  </si>
  <si>
    <t xml:space="preserve">Inventory carrying-cost reduction</t>
  </si>
  <si>
    <t xml:space="preserve">15–22%</t>
  </si>
  <si>
    <t xml:space="preserve">Stockout prevention</t>
  </si>
  <si>
    <t xml:space="preserve">revenue protection</t>
  </si>
  <si>
    <t xml:space="preserve">Planner productivity</t>
  </si>
  <si>
    <t xml:space="preserve">40% gain</t>
  </si>
  <si>
    <t xml:space="preserve">Disruption response</t>
  </si>
  <si>
    <t xml:space="preserve">revenue protected</t>
  </si>
  <si>
    <t xml:space="preserve">Fraud / duplicate-invoice prevention</t>
  </si>
  <si>
    <t xml:space="preserve">AP controls</t>
  </si>
  <si>
    <t xml:space="preserve">Annual value total</t>
  </si>
  <si>
    <t xml:space="preserve">ROI</t>
  </si>
  <si>
    <t xml:space="preserve">Metric</t>
  </si>
  <si>
    <t xml:space="preserve">Low</t>
  </si>
  <si>
    <t xml:space="preserve">High</t>
  </si>
  <si>
    <t xml:space="preserve">Discount rate (input)</t>
  </si>
  <si>
    <t xml:space="preserve">Net annual benefit (value − run)</t>
  </si>
  <si>
    <t xml:space="preserve">Payback period (months)</t>
  </si>
  <si>
    <t xml:space="preserve">3-yr gross benefit</t>
  </si>
  <si>
    <t xml:space="preserve">3-yr NPV (discounted)</t>
  </si>
  <si>
    <t xml:space="preserve">Measured Run — Supplier Disruption Response</t>
  </si>
  <si>
    <t xml:space="preserve">Output of the working UNAI Studio app (node run-demo.js --sqlite). Real engine outputs.</t>
  </si>
  <si>
    <t xml:space="preserve">Gen-1</t>
  </si>
  <si>
    <t xml:space="preserve">Gen-2</t>
  </si>
  <si>
    <t xml:space="preserve">Note</t>
  </si>
  <si>
    <t xml:space="preserve">Reduction</t>
  </si>
  <si>
    <t xml:space="preserve">Agents deployed</t>
  </si>
  <si>
    <t xml:space="preserve">4 specialist agents → 1 UNAI</t>
  </si>
  <si>
    <t xml:space="preserve">Layer implementations</t>
  </si>
  <si>
    <t xml:space="preserve">28 (4×7) → 7 shared + 4 packs</t>
  </si>
  <si>
    <t xml:space="preserve">System transitions during run</t>
  </si>
  <si>
    <t xml:space="preserve">transitions unavoidable in both</t>
  </si>
  <si>
    <t xml:space="preserve">Systems of record touched</t>
  </si>
  <si>
    <t xml:space="preserve">SAP MM, SD, FI, Analytics store</t>
  </si>
  <si>
    <t xml:space="preserve">Schema re-maps (context-switch cost)</t>
  </si>
  <si>
    <t xml:space="preserve">ontology absorbs all re-maps</t>
  </si>
  <si>
    <t xml:space="preserve">Ontology field translations</t>
  </si>
  <si>
    <t xml:space="preserve">one central mapper</t>
  </si>
  <si>
    <t xml:space="preserve">—</t>
  </si>
  <si>
    <t xml:space="preserve">A2A messages</t>
  </si>
  <si>
    <t xml:space="preserve">pub/sub topics</t>
  </si>
  <si>
    <t xml:space="preserve">Shared layers exercised</t>
  </si>
  <si>
    <t xml:space="preserve">all 7 layers fired (see Explainability tab)</t>
  </si>
  <si>
    <t xml:space="preserve">Autonomous actions executed</t>
  </si>
  <si>
    <t xml:space="preserve">1 PO + 2 safety-stock updates</t>
  </si>
  <si>
    <t xml:space="preserve">Human-approval-gated actions</t>
  </si>
  <si>
    <t xml:space="preserve">$56K PO &gt; $50K limit (HITL)</t>
  </si>
  <si>
    <t xml:space="preserve">Explainability &amp; Evidence — every decision traced</t>
  </si>
  <si>
    <t xml:space="preserve">Output of the Evidence + Explainability layers. Each decision carries confidence, attribution, uncertainty, a gate, and a rationale.</t>
  </si>
  <si>
    <t xml:space="preserve">Decision</t>
  </si>
  <si>
    <t xml:space="preserve">Confidence</t>
  </si>
  <si>
    <t xml:space="preserve">Uncertainty</t>
  </si>
  <si>
    <t xml:space="preserve">Primary driver (share)</t>
  </si>
  <si>
    <t xml:space="preserve">Mode</t>
  </si>
  <si>
    <t xml:space="preserve">Governance gate</t>
  </si>
  <si>
    <t xml:space="preserve">Disruption detected: port strike — APAC lanes</t>
  </si>
  <si>
    <t xml:space="preserve">±7%</t>
  </si>
  <si>
    <t xml:space="preserve">supplier risk score (70%)</t>
  </si>
  <si>
    <t xml:space="preserve">Autonomous</t>
  </si>
  <si>
    <t xml:space="preserve">within policy</t>
  </si>
  <si>
    <t xml:space="preserve">Demand re-forecast (+12% pull-forward)</t>
  </si>
  <si>
    <t xml:space="preserve">±12%</t>
  </si>
  <si>
    <t xml:space="preserve">open sales orders (57%)</t>
  </si>
  <si>
    <t xml:space="preserve">Inventory rebalanced — 2 SKUs short</t>
  </si>
  <si>
    <t xml:space="preserve">±8%</t>
  </si>
  <si>
    <t xml:space="preserve">forecast-vs-onhand gap (69%)</t>
  </si>
  <si>
    <t xml:space="preserve">Raise PO FG-1001 (1,084u, $46,070) — rerouted</t>
  </si>
  <si>
    <t xml:space="preserve">±2%</t>
  </si>
  <si>
    <t xml:space="preserve">stock-out revenue risk (63%)</t>
  </si>
  <si>
    <t xml:space="preserve">≤ $50K limit</t>
  </si>
  <si>
    <t xml:space="preserve">Raise PO FG-1003 (586u, $56,256)</t>
  </si>
  <si>
    <t xml:space="preserve">stock-out revenue risk (86%)</t>
  </si>
  <si>
    <t xml:space="preserve">Human approval</t>
  </si>
  <si>
    <t xml:space="preserve">$56,256 &gt; $50K limit</t>
  </si>
  <si>
    <t xml:space="preserve">Autonomy threshold = 85% confidence AND within the $50,000 value-based approval limit (human-in-the-loop above it).</t>
  </si>
  <si>
    <t xml:space="preserve">All 5 decisions ≥ 85% confidence; the held PO is gated on VALUE, not confidence — demonstrating policy-based governance.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</si>
</sst>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"/>
    <numFmt numFmtId="168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66"/>
      <name val="Arial"/>
      <family val="0"/>
      <charset val="1"/>
    </font>
    <font>
      <i val="true"/>
      <sz val="10"/>
      <color rgb="FF6B768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C7A5E"/>
      <name val="Arial"/>
      <family val="0"/>
      <charset val="1"/>
    </font>
    <font>
      <b val="true"/>
      <sz val="11"/>
      <color rgb="FF1F3A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F6DF0"/>
      <name val="Arial"/>
      <family val="0"/>
      <charset val="1"/>
    </font>
    <font>
      <b val="true"/>
      <sz val="11"/>
      <color rgb="FFB23A3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66"/>
        <bgColor rgb="FF333399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E2F4EE"/>
      </patternFill>
    </fill>
    <fill>
      <patternFill patternType="solid">
        <fgColor rgb="FFE2F4EE"/>
        <bgColor rgb="FFEE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5E4"/>
      </left>
      <right style="thin">
        <color rgb="FFCCD5E4"/>
      </right>
      <top style="thin">
        <color rgb="FFCCD5E4"/>
      </top>
      <bottom style="thin">
        <color rgb="FFCCD5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7A5E"/>
      <rgbColor rgb="FFC0C0C0"/>
      <rgbColor rgb="FF808080"/>
      <rgbColor rgb="FF9999FF"/>
      <rgbColor rgb="FF993366"/>
      <rgbColor rgb="FFEEF3FB"/>
      <rgbColor rgb="FFE2F4EE"/>
      <rgbColor rgb="FF660066"/>
      <rgbColor rgb="FFFF8080"/>
      <rgbColor rgb="FF0066CC"/>
      <rgbColor rgb="FFCCD5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DF0"/>
      <rgbColor rgb="FF33CCCC"/>
      <rgbColor rgb="FF99CC00"/>
      <rgbColor rgb="FFFFCC00"/>
      <rgbColor rgb="FFFF9900"/>
      <rgbColor rgb="FFFF6600"/>
      <rgbColor rgb="FF6B7689"/>
      <rgbColor rgb="FF969696"/>
      <rgbColor rgb="FF1F3A66"/>
      <rgbColor rgb="FF339966"/>
      <rgbColor rgb="FF003300"/>
      <rgbColor rgb="FF333300"/>
      <rgbColor rgb="FFB23A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'Complexity &amp; Efficiency'!B22</f>
        <v>0.9</v>
      </c>
    </row>
    <row r="6" customFormat="false" ht="15" hidden="false" customHeight="false" outlineLevel="0" collapsed="false">
      <c r="A6" s="6" t="s">
        <v>5</v>
      </c>
      <c r="B6" s="7" t="n">
        <f aca="false">'Complexity &amp; Efficiency'!B26</f>
        <v>0.908883826879271</v>
      </c>
    </row>
    <row r="7" customFormat="false" ht="15" hidden="false" customHeight="false" outlineLevel="0" collapsed="false">
      <c r="A7" s="4" t="s">
        <v>6</v>
      </c>
      <c r="B7" s="8" t="str">
        <f aca="false">'Run Metrics'!B5&amp;":"&amp;'Run Metrics'!C5</f>
        <v>4:1</v>
      </c>
    </row>
    <row r="8" customFormat="false" ht="15" hidden="false" customHeight="false" outlineLevel="0" collapsed="false">
      <c r="A8" s="6" t="s">
        <v>7</v>
      </c>
      <c r="B8" s="7" t="n">
        <f aca="false">'Run Metrics'!E9</f>
        <v>1</v>
      </c>
    </row>
    <row r="9" customFormat="false" ht="15" hidden="false" customHeight="false" outlineLevel="0" collapsed="false">
      <c r="A9" s="4" t="s">
        <v>8</v>
      </c>
      <c r="B9" s="8" t="str">
        <f aca="false">"$"&amp;TEXT('Cost-Benefit'!C18,"0.0")&amp;"M"</f>
        <v>$2.4M</v>
      </c>
    </row>
    <row r="10" customFormat="false" ht="15" hidden="false" customHeight="false" outlineLevel="0" collapsed="false">
      <c r="A10" s="6" t="s">
        <v>9</v>
      </c>
      <c r="B10" s="9" t="str">
        <f aca="false">"$"&amp;TEXT(('Cost-Benefit'!C27+'Cost-Benefit'!D27)/2,"0.0")&amp;"M"</f>
        <v>$11.5M</v>
      </c>
    </row>
    <row r="11" customFormat="false" ht="15" hidden="false" customHeight="false" outlineLevel="0" collapsed="false">
      <c r="A11" s="4" t="s">
        <v>10</v>
      </c>
      <c r="B11" s="10" t="n">
        <f aca="false">'Cost-Benefit'!C33</f>
        <v>3.48107065348445</v>
      </c>
    </row>
    <row r="12" customFormat="false" ht="15" hidden="false" customHeight="false" outlineLevel="0" collapsed="false">
      <c r="A12" s="6" t="s">
        <v>11</v>
      </c>
      <c r="B12" s="9" t="str">
        <f aca="false">"$"&amp;TEXT(('Cost-Benefit'!C35+'Cost-Benefit'!D35)/2,"0")&amp;"M"</f>
        <v>$23M</v>
      </c>
    </row>
    <row r="14" customFormat="false" ht="15" hidden="false" customHeight="false" outlineLevel="0" collapsed="false">
      <c r="A14" s="1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6" min="4" style="0" width="18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15" hidden="false" customHeight="false" outlineLevel="0" collapsed="false">
      <c r="A5" s="12" t="s">
        <v>21</v>
      </c>
      <c r="B5" s="12" t="s">
        <v>22</v>
      </c>
      <c r="C5" s="13" t="n">
        <v>7</v>
      </c>
      <c r="D5" s="14" t="n">
        <v>120</v>
      </c>
      <c r="E5" s="13" t="n">
        <v>0</v>
      </c>
      <c r="F5" s="14" t="n">
        <v>8</v>
      </c>
    </row>
    <row r="6" customFormat="false" ht="15" hidden="false" customHeight="false" outlineLevel="0" collapsed="false">
      <c r="A6" s="15" t="s">
        <v>23</v>
      </c>
      <c r="B6" s="15" t="s">
        <v>22</v>
      </c>
      <c r="C6" s="16" t="n">
        <v>7</v>
      </c>
      <c r="D6" s="17" t="n">
        <v>95</v>
      </c>
      <c r="E6" s="16" t="n">
        <v>0</v>
      </c>
      <c r="F6" s="17" t="n">
        <v>8</v>
      </c>
    </row>
    <row r="7" customFormat="false" ht="15" hidden="false" customHeight="false" outlineLevel="0" collapsed="false">
      <c r="A7" s="12" t="s">
        <v>24</v>
      </c>
      <c r="B7" s="12" t="s">
        <v>25</v>
      </c>
      <c r="C7" s="13" t="n">
        <v>7</v>
      </c>
      <c r="D7" s="14" t="n">
        <v>80</v>
      </c>
      <c r="E7" s="13" t="n">
        <v>0</v>
      </c>
      <c r="F7" s="14" t="n">
        <v>8</v>
      </c>
    </row>
    <row r="8" customFormat="false" ht="15" hidden="false" customHeight="false" outlineLevel="0" collapsed="false">
      <c r="A8" s="15" t="s">
        <v>26</v>
      </c>
      <c r="B8" s="15" t="s">
        <v>27</v>
      </c>
      <c r="C8" s="16" t="n">
        <v>7</v>
      </c>
      <c r="D8" s="17" t="n">
        <v>110</v>
      </c>
      <c r="E8" s="16" t="n">
        <v>0</v>
      </c>
      <c r="F8" s="17" t="n">
        <v>8</v>
      </c>
    </row>
    <row r="9" customFormat="false" ht="15" hidden="false" customHeight="false" outlineLevel="0" collapsed="false">
      <c r="A9" s="12" t="s">
        <v>28</v>
      </c>
      <c r="B9" s="12" t="s">
        <v>22</v>
      </c>
      <c r="C9" s="13" t="n">
        <v>7</v>
      </c>
      <c r="D9" s="14" t="n">
        <v>90</v>
      </c>
      <c r="E9" s="13" t="n">
        <v>0</v>
      </c>
      <c r="F9" s="14" t="n">
        <v>8</v>
      </c>
    </row>
    <row r="10" customFormat="false" ht="15" hidden="false" customHeight="false" outlineLevel="0" collapsed="false">
      <c r="A10" s="15" t="s">
        <v>29</v>
      </c>
      <c r="B10" s="15" t="s">
        <v>22</v>
      </c>
      <c r="C10" s="16" t="n">
        <v>7</v>
      </c>
      <c r="D10" s="17" t="n">
        <v>85</v>
      </c>
      <c r="E10" s="16" t="n">
        <v>0</v>
      </c>
      <c r="F10" s="17" t="n">
        <v>8</v>
      </c>
    </row>
    <row r="11" customFormat="false" ht="15" hidden="false" customHeight="false" outlineLevel="0" collapsed="false">
      <c r="A11" s="12" t="s">
        <v>30</v>
      </c>
      <c r="B11" s="12" t="s">
        <v>31</v>
      </c>
      <c r="C11" s="13" t="n">
        <v>7</v>
      </c>
      <c r="D11" s="14" t="n">
        <v>70</v>
      </c>
      <c r="E11" s="13" t="n">
        <v>0</v>
      </c>
      <c r="F11" s="14" t="n">
        <v>8</v>
      </c>
    </row>
    <row r="12" customFormat="false" ht="15" hidden="false" customHeight="false" outlineLevel="0" collapsed="false">
      <c r="A12" s="15" t="s">
        <v>25</v>
      </c>
      <c r="B12" s="15" t="s">
        <v>25</v>
      </c>
      <c r="C12" s="16" t="n">
        <v>7</v>
      </c>
      <c r="D12" s="17" t="n">
        <v>75</v>
      </c>
      <c r="E12" s="16" t="n">
        <v>0</v>
      </c>
      <c r="F12" s="17" t="n">
        <v>8</v>
      </c>
    </row>
    <row r="13" customFormat="false" ht="15" hidden="false" customHeight="false" outlineLevel="0" collapsed="false">
      <c r="A13" s="12" t="s">
        <v>32</v>
      </c>
      <c r="B13" s="12" t="s">
        <v>22</v>
      </c>
      <c r="C13" s="13" t="n">
        <v>7</v>
      </c>
      <c r="D13" s="14" t="n">
        <v>65</v>
      </c>
      <c r="E13" s="13" t="n">
        <v>0</v>
      </c>
      <c r="F13" s="14" t="n">
        <v>8</v>
      </c>
    </row>
    <row r="14" customFormat="false" ht="15" hidden="false" customHeight="false" outlineLevel="0" collapsed="false">
      <c r="A14" s="15" t="s">
        <v>33</v>
      </c>
      <c r="B14" s="15" t="s">
        <v>34</v>
      </c>
      <c r="C14" s="16" t="n">
        <v>7</v>
      </c>
      <c r="D14" s="17" t="n">
        <v>88</v>
      </c>
      <c r="E14" s="16" t="n">
        <v>0</v>
      </c>
      <c r="F14" s="17" t="n">
        <v>8</v>
      </c>
    </row>
    <row r="15" customFormat="false" ht="15" hidden="false" customHeight="false" outlineLevel="0" collapsed="false">
      <c r="A15" s="18" t="s">
        <v>35</v>
      </c>
      <c r="B15" s="19"/>
      <c r="C15" s="20" t="n">
        <f aca="false">SUM(C5:C14)</f>
        <v>70</v>
      </c>
      <c r="D15" s="20" t="n">
        <f aca="false">SUM(D5:D14)</f>
        <v>878</v>
      </c>
      <c r="E15" s="20" t="n">
        <f aca="false">SUM(E5:E14)</f>
        <v>0</v>
      </c>
      <c r="F15" s="20" t="n">
        <f aca="false">SUM(F5:F14)</f>
        <v>80</v>
      </c>
    </row>
    <row r="18" customFormat="false" ht="15" hidden="false" customHeight="false" outlineLevel="0" collapsed="false">
      <c r="A18" s="21" t="s">
        <v>36</v>
      </c>
    </row>
    <row r="19" customFormat="false" ht="15" hidden="false" customHeight="false" outlineLevel="0" collapsed="false">
      <c r="A19" s="4" t="s">
        <v>37</v>
      </c>
      <c r="B19" s="22" t="n">
        <f aca="false">7</f>
        <v>7</v>
      </c>
    </row>
    <row r="20" customFormat="false" ht="15" hidden="false" customHeight="false" outlineLevel="0" collapsed="false">
      <c r="A20" s="6" t="s">
        <v>38</v>
      </c>
      <c r="B20" s="23" t="n">
        <f aca="false">10</f>
        <v>10</v>
      </c>
    </row>
    <row r="21" customFormat="false" ht="15" hidden="false" customHeight="false" outlineLevel="0" collapsed="false">
      <c r="A21" s="4" t="s">
        <v>39</v>
      </c>
      <c r="B21" s="22" t="n">
        <f aca="false">C15</f>
        <v>70</v>
      </c>
    </row>
    <row r="22" customFormat="false" ht="15" hidden="false" customHeight="false" outlineLevel="0" collapsed="false">
      <c r="A22" s="6" t="s">
        <v>40</v>
      </c>
      <c r="B22" s="7" t="n">
        <f aca="false">1-B19/B21</f>
        <v>0.9</v>
      </c>
    </row>
    <row r="23" customFormat="false" ht="15" hidden="false" customHeight="false" outlineLevel="0" collapsed="false">
      <c r="A23" s="4" t="s">
        <v>41</v>
      </c>
      <c r="B23" s="24" t="n">
        <f aca="false">1-(B19+B20)/B21</f>
        <v>0.757142857142857</v>
      </c>
    </row>
    <row r="24" customFormat="false" ht="15" hidden="false" customHeight="false" outlineLevel="0" collapsed="false">
      <c r="A24" s="6" t="s">
        <v>42</v>
      </c>
      <c r="B24" s="23" t="n">
        <f aca="false">D15</f>
        <v>878</v>
      </c>
    </row>
    <row r="25" customFormat="false" ht="15" hidden="false" customHeight="false" outlineLevel="0" collapsed="false">
      <c r="A25" s="4" t="s">
        <v>43</v>
      </c>
      <c r="B25" s="22" t="n">
        <f aca="false">F15</f>
        <v>80</v>
      </c>
    </row>
    <row r="26" customFormat="false" ht="15" hidden="false" customHeight="false" outlineLevel="0" collapsed="false">
      <c r="A26" s="6" t="s">
        <v>44</v>
      </c>
      <c r="B26" s="7" t="n">
        <f aca="false">1-B25/B24</f>
        <v>0.908883826879271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4" min="3" style="0" width="14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</row>
    <row r="5" customFormat="false" ht="15" hidden="false" customHeight="false" outlineLevel="0" collapsed="false">
      <c r="A5" s="4" t="s">
        <v>51</v>
      </c>
      <c r="B5" s="25"/>
      <c r="C5" s="26" t="n">
        <v>1.28</v>
      </c>
      <c r="D5" s="26" t="n">
        <v>1.28</v>
      </c>
    </row>
    <row r="6" customFormat="false" ht="15" hidden="false" customHeight="false" outlineLevel="0" collapsed="false">
      <c r="A6" s="6" t="s">
        <v>52</v>
      </c>
      <c r="B6" s="27"/>
      <c r="C6" s="28" t="n">
        <v>0.12</v>
      </c>
      <c r="D6" s="28" t="n">
        <v>0.12</v>
      </c>
    </row>
    <row r="7" customFormat="false" ht="15" hidden="false" customHeight="false" outlineLevel="0" collapsed="false">
      <c r="A7" s="4" t="s">
        <v>53</v>
      </c>
      <c r="B7" s="25"/>
      <c r="C7" s="26" t="n">
        <v>0.08</v>
      </c>
      <c r="D7" s="26" t="n">
        <v>0.08</v>
      </c>
    </row>
    <row r="8" customFormat="false" ht="15" hidden="false" customHeight="false" outlineLevel="0" collapsed="false">
      <c r="A8" s="6" t="s">
        <v>54</v>
      </c>
      <c r="B8" s="27"/>
      <c r="C8" s="28" t="n">
        <v>0.06</v>
      </c>
      <c r="D8" s="28" t="n">
        <v>0.06</v>
      </c>
    </row>
    <row r="9" customFormat="false" ht="15" hidden="false" customHeight="false" outlineLevel="0" collapsed="false">
      <c r="A9" s="4" t="s">
        <v>55</v>
      </c>
      <c r="B9" s="25"/>
      <c r="C9" s="26" t="n">
        <v>0.16</v>
      </c>
      <c r="D9" s="26" t="n">
        <v>0.16</v>
      </c>
    </row>
    <row r="10" customFormat="false" ht="15" hidden="false" customHeight="false" outlineLevel="0" collapsed="false">
      <c r="A10" s="29" t="s">
        <v>56</v>
      </c>
      <c r="B10" s="30"/>
      <c r="C10" s="31" t="n">
        <f aca="false">SUM(C5:C9)</f>
        <v>1.7</v>
      </c>
      <c r="D10" s="31" t="n">
        <f aca="false">SUM(D5:D9)</f>
        <v>1.7</v>
      </c>
    </row>
    <row r="11" customFormat="false" ht="15" hidden="false" customHeight="false" outlineLevel="0" collapsed="false">
      <c r="A11" s="4" t="s">
        <v>57</v>
      </c>
      <c r="B11" s="25"/>
      <c r="C11" s="26" t="n">
        <v>0.2</v>
      </c>
      <c r="D11" s="26" t="n">
        <v>0.34</v>
      </c>
    </row>
    <row r="12" customFormat="false" ht="15" hidden="false" customHeight="false" outlineLevel="0" collapsed="false">
      <c r="A12" s="6" t="s">
        <v>58</v>
      </c>
      <c r="B12" s="27"/>
      <c r="C12" s="28" t="n">
        <v>0.11</v>
      </c>
      <c r="D12" s="28" t="n">
        <v>0.11</v>
      </c>
    </row>
    <row r="13" customFormat="false" ht="15" hidden="false" customHeight="false" outlineLevel="0" collapsed="false">
      <c r="A13" s="4" t="s">
        <v>59</v>
      </c>
      <c r="B13" s="25"/>
      <c r="C13" s="26" t="n">
        <v>0.072</v>
      </c>
      <c r="D13" s="26" t="n">
        <v>0.072</v>
      </c>
    </row>
    <row r="14" customFormat="false" ht="15" hidden="false" customHeight="false" outlineLevel="0" collapsed="false">
      <c r="A14" s="6" t="s">
        <v>60</v>
      </c>
      <c r="B14" s="27"/>
      <c r="C14" s="28" t="n">
        <v>0.048</v>
      </c>
      <c r="D14" s="28" t="n">
        <v>0.048</v>
      </c>
    </row>
    <row r="15" customFormat="false" ht="15" hidden="false" customHeight="false" outlineLevel="0" collapsed="false">
      <c r="A15" s="4" t="s">
        <v>61</v>
      </c>
      <c r="B15" s="25"/>
      <c r="C15" s="26" t="n">
        <v>0.036</v>
      </c>
      <c r="D15" s="26" t="n">
        <v>0.036</v>
      </c>
    </row>
    <row r="16" customFormat="false" ht="15" hidden="false" customHeight="false" outlineLevel="0" collapsed="false">
      <c r="A16" s="6" t="s">
        <v>62</v>
      </c>
      <c r="B16" s="27"/>
      <c r="C16" s="28" t="n">
        <v>0.24</v>
      </c>
      <c r="D16" s="28" t="n">
        <v>0.24</v>
      </c>
    </row>
    <row r="17" customFormat="false" ht="15" hidden="false" customHeight="false" outlineLevel="0" collapsed="false">
      <c r="A17" s="29" t="s">
        <v>63</v>
      </c>
      <c r="B17" s="30"/>
      <c r="C17" s="31" t="n">
        <f aca="false">SUM(C11:C16)</f>
        <v>0.706</v>
      </c>
      <c r="D17" s="31" t="n">
        <f aca="false">SUM(D11:D16)</f>
        <v>0.846</v>
      </c>
    </row>
    <row r="18" customFormat="false" ht="15" hidden="false" customHeight="false" outlineLevel="0" collapsed="false">
      <c r="A18" s="32" t="s">
        <v>64</v>
      </c>
      <c r="C18" s="33" t="n">
        <f aca="false">C10+C17</f>
        <v>2.406</v>
      </c>
      <c r="D18" s="33" t="n">
        <f aca="false">D10+D17</f>
        <v>2.546</v>
      </c>
    </row>
    <row r="20" customFormat="false" ht="15" hidden="false" customHeight="false" outlineLevel="0" collapsed="false">
      <c r="A20" s="21" t="s">
        <v>65</v>
      </c>
    </row>
    <row r="21" customFormat="false" ht="15" hidden="false" customHeight="false" outlineLevel="0" collapsed="false">
      <c r="A21" s="3" t="s">
        <v>66</v>
      </c>
      <c r="B21" s="3" t="s">
        <v>67</v>
      </c>
      <c r="C21" s="3" t="s">
        <v>49</v>
      </c>
      <c r="D21" s="3" t="s">
        <v>50</v>
      </c>
    </row>
    <row r="22" customFormat="false" ht="15" hidden="false" customHeight="false" outlineLevel="0" collapsed="false">
      <c r="A22" s="4" t="s">
        <v>68</v>
      </c>
      <c r="B22" s="4" t="s">
        <v>69</v>
      </c>
      <c r="C22" s="26" t="n">
        <v>3.2</v>
      </c>
      <c r="D22" s="26" t="n">
        <v>4.8</v>
      </c>
    </row>
    <row r="23" customFormat="false" ht="15" hidden="false" customHeight="false" outlineLevel="0" collapsed="false">
      <c r="A23" s="6" t="s">
        <v>70</v>
      </c>
      <c r="B23" s="6" t="s">
        <v>71</v>
      </c>
      <c r="C23" s="28" t="n">
        <v>2.1</v>
      </c>
      <c r="D23" s="28" t="n">
        <v>3.5</v>
      </c>
    </row>
    <row r="24" customFormat="false" ht="15" hidden="false" customHeight="false" outlineLevel="0" collapsed="false">
      <c r="A24" s="4" t="s">
        <v>72</v>
      </c>
      <c r="B24" s="4" t="s">
        <v>73</v>
      </c>
      <c r="C24" s="26" t="n">
        <v>1.4</v>
      </c>
      <c r="D24" s="26" t="n">
        <v>2</v>
      </c>
    </row>
    <row r="25" customFormat="false" ht="15" hidden="false" customHeight="false" outlineLevel="0" collapsed="false">
      <c r="A25" s="6" t="s">
        <v>74</v>
      </c>
      <c r="B25" s="6" t="s">
        <v>75</v>
      </c>
      <c r="C25" s="28" t="n">
        <v>1.5</v>
      </c>
      <c r="D25" s="28" t="n">
        <v>2.2</v>
      </c>
    </row>
    <row r="26" customFormat="false" ht="15" hidden="false" customHeight="false" outlineLevel="0" collapsed="false">
      <c r="A26" s="4" t="s">
        <v>76</v>
      </c>
      <c r="B26" s="4" t="s">
        <v>77</v>
      </c>
      <c r="C26" s="26" t="n">
        <v>0.8</v>
      </c>
      <c r="D26" s="26" t="n">
        <v>1.5</v>
      </c>
    </row>
    <row r="27" customFormat="false" ht="15" hidden="false" customHeight="false" outlineLevel="0" collapsed="false">
      <c r="A27" s="29" t="s">
        <v>78</v>
      </c>
      <c r="B27" s="30"/>
      <c r="C27" s="33" t="n">
        <f aca="false">SUM(C22:C26)</f>
        <v>9</v>
      </c>
      <c r="D27" s="33" t="n">
        <f aca="false">SUM(D22:D26)</f>
        <v>14</v>
      </c>
    </row>
    <row r="29" customFormat="false" ht="15" hidden="false" customHeight="false" outlineLevel="0" collapsed="false">
      <c r="A29" s="21" t="s">
        <v>79</v>
      </c>
    </row>
    <row r="30" customFormat="false" ht="15" hidden="false" customHeight="false" outlineLevel="0" collapsed="false">
      <c r="A30" s="3" t="s">
        <v>80</v>
      </c>
      <c r="B30" s="3"/>
      <c r="C30" s="3" t="s">
        <v>81</v>
      </c>
      <c r="D30" s="3" t="s">
        <v>82</v>
      </c>
    </row>
    <row r="31" customFormat="false" ht="15" hidden="false" customHeight="false" outlineLevel="0" collapsed="false">
      <c r="A31" s="34" t="s">
        <v>83</v>
      </c>
      <c r="C31" s="35" t="n">
        <v>0.12</v>
      </c>
    </row>
    <row r="32" customFormat="false" ht="15" hidden="false" customHeight="false" outlineLevel="0" collapsed="false">
      <c r="A32" s="4" t="s">
        <v>84</v>
      </c>
      <c r="B32" s="25"/>
      <c r="C32" s="36" t="n">
        <f aca="false">C27-C17</f>
        <v>8.294</v>
      </c>
      <c r="D32" s="36" t="n">
        <f aca="false">D27-D17</f>
        <v>13.154</v>
      </c>
    </row>
    <row r="33" customFormat="false" ht="15" hidden="false" customHeight="false" outlineLevel="0" collapsed="false">
      <c r="A33" s="37" t="s">
        <v>85</v>
      </c>
      <c r="B33" s="27"/>
      <c r="C33" s="38" t="n">
        <f aca="false">C18/C32*12</f>
        <v>3.48107065348445</v>
      </c>
      <c r="D33" s="38" t="n">
        <f aca="false">D18/D32*12</f>
        <v>2.32263950129238</v>
      </c>
    </row>
    <row r="34" customFormat="false" ht="15" hidden="false" customHeight="false" outlineLevel="0" collapsed="false">
      <c r="A34" s="4" t="s">
        <v>86</v>
      </c>
      <c r="B34" s="25"/>
      <c r="C34" s="36" t="n">
        <f aca="false">C32*3</f>
        <v>24.882</v>
      </c>
      <c r="D34" s="36" t="n">
        <f aca="false">D32*3</f>
        <v>39.462</v>
      </c>
    </row>
    <row r="35" customFormat="false" ht="15" hidden="false" customHeight="false" outlineLevel="0" collapsed="false">
      <c r="A35" s="37" t="s">
        <v>87</v>
      </c>
      <c r="B35" s="27"/>
      <c r="C35" s="39" t="n">
        <f aca="false">-C18+C32/(1+$C$31)+C32/(1+$C$31)^2+C32/(1+$C$31)^3</f>
        <v>17.5147885386297</v>
      </c>
      <c r="D35" s="39" t="n">
        <f aca="false">-D18+D32/(1+$C$31)+D32/(1+$C$31)^2+D32/(1+$C$31)^3</f>
        <v>29.0476885021866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3" t="s">
        <v>80</v>
      </c>
      <c r="B4" s="3" t="s">
        <v>90</v>
      </c>
      <c r="C4" s="3" t="s">
        <v>91</v>
      </c>
      <c r="D4" s="3" t="s">
        <v>92</v>
      </c>
      <c r="E4" s="3" t="s">
        <v>93</v>
      </c>
    </row>
    <row r="5" customFormat="false" ht="15" hidden="false" customHeight="false" outlineLevel="0" collapsed="false">
      <c r="A5" s="4" t="s">
        <v>94</v>
      </c>
      <c r="B5" s="13" t="n">
        <v>4</v>
      </c>
      <c r="C5" s="40" t="n">
        <v>1</v>
      </c>
      <c r="D5" s="4" t="s">
        <v>95</v>
      </c>
      <c r="E5" s="5" t="n">
        <f aca="false">IF(B5=0,"—",1-C5/B5)</f>
        <v>0.75</v>
      </c>
    </row>
    <row r="6" customFormat="false" ht="15" hidden="false" customHeight="false" outlineLevel="0" collapsed="false">
      <c r="A6" s="6" t="s">
        <v>96</v>
      </c>
      <c r="B6" s="16" t="n">
        <v>28</v>
      </c>
      <c r="C6" s="41" t="n">
        <v>11</v>
      </c>
      <c r="D6" s="6" t="s">
        <v>97</v>
      </c>
      <c r="E6" s="7" t="n">
        <f aca="false">IF(B6=0,"—",1-C6/B6)</f>
        <v>0.607142857142857</v>
      </c>
    </row>
    <row r="7" customFormat="false" ht="15" hidden="false" customHeight="false" outlineLevel="0" collapsed="false">
      <c r="A7" s="4" t="s">
        <v>98</v>
      </c>
      <c r="B7" s="13" t="n">
        <v>5</v>
      </c>
      <c r="C7" s="40" t="n">
        <v>5</v>
      </c>
      <c r="D7" s="4" t="s">
        <v>99</v>
      </c>
      <c r="E7" s="5" t="n">
        <f aca="false">IF(B7=0,"—",1-C7/B7)</f>
        <v>0</v>
      </c>
    </row>
    <row r="8" customFormat="false" ht="15" hidden="false" customHeight="false" outlineLevel="0" collapsed="false">
      <c r="A8" s="6" t="s">
        <v>100</v>
      </c>
      <c r="B8" s="16" t="n">
        <v>4</v>
      </c>
      <c r="C8" s="41" t="n">
        <v>4</v>
      </c>
      <c r="D8" s="6" t="s">
        <v>101</v>
      </c>
      <c r="E8" s="7" t="n">
        <f aca="false">IF(B8=0,"—",1-C8/B8)</f>
        <v>0</v>
      </c>
    </row>
    <row r="9" customFormat="false" ht="15" hidden="false" customHeight="false" outlineLevel="0" collapsed="false">
      <c r="A9" s="4" t="s">
        <v>102</v>
      </c>
      <c r="B9" s="13" t="n">
        <v>5</v>
      </c>
      <c r="C9" s="40" t="n">
        <v>0</v>
      </c>
      <c r="D9" s="4" t="s">
        <v>103</v>
      </c>
      <c r="E9" s="5" t="n">
        <f aca="false">IF(B9=0,"—",1-C9/B9)</f>
        <v>1</v>
      </c>
    </row>
    <row r="10" customFormat="false" ht="15" hidden="false" customHeight="false" outlineLevel="0" collapsed="false">
      <c r="A10" s="6" t="s">
        <v>104</v>
      </c>
      <c r="B10" s="16" t="n">
        <v>0</v>
      </c>
      <c r="C10" s="41" t="n">
        <v>62</v>
      </c>
      <c r="D10" s="6" t="s">
        <v>105</v>
      </c>
      <c r="E10" s="42" t="s">
        <v>106</v>
      </c>
    </row>
    <row r="11" customFormat="false" ht="15" hidden="false" customHeight="false" outlineLevel="0" collapsed="false">
      <c r="A11" s="4" t="s">
        <v>107</v>
      </c>
      <c r="B11" s="13" t="n">
        <v>0</v>
      </c>
      <c r="C11" s="40" t="n">
        <v>4</v>
      </c>
      <c r="D11" s="4" t="s">
        <v>108</v>
      </c>
      <c r="E11" s="43" t="s">
        <v>106</v>
      </c>
    </row>
    <row r="12" customFormat="false" ht="15" hidden="false" customHeight="false" outlineLevel="0" collapsed="false">
      <c r="A12" s="6" t="s">
        <v>109</v>
      </c>
      <c r="B12" s="16" t="n">
        <v>0</v>
      </c>
      <c r="C12" s="41" t="n">
        <v>7</v>
      </c>
      <c r="D12" s="6" t="s">
        <v>110</v>
      </c>
      <c r="E12" s="42" t="s">
        <v>106</v>
      </c>
    </row>
    <row r="13" customFormat="false" ht="15" hidden="false" customHeight="false" outlineLevel="0" collapsed="false">
      <c r="A13" s="4" t="s">
        <v>111</v>
      </c>
      <c r="B13" s="13" t="n">
        <v>0</v>
      </c>
      <c r="C13" s="40" t="n">
        <v>3</v>
      </c>
      <c r="D13" s="4" t="s">
        <v>112</v>
      </c>
      <c r="E13" s="43" t="s">
        <v>106</v>
      </c>
    </row>
    <row r="14" customFormat="false" ht="15" hidden="false" customHeight="false" outlineLevel="0" collapsed="false">
      <c r="A14" s="6" t="s">
        <v>113</v>
      </c>
      <c r="B14" s="16" t="n">
        <v>0</v>
      </c>
      <c r="C14" s="41" t="n">
        <v>1</v>
      </c>
      <c r="D14" s="6" t="s">
        <v>114</v>
      </c>
      <c r="E14" s="4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</row>
    <row r="5" customFormat="false" ht="26.85" hidden="false" customHeight="false" outlineLevel="0" collapsed="false">
      <c r="A5" s="12" t="s">
        <v>123</v>
      </c>
      <c r="B5" s="5" t="n">
        <v>0.93</v>
      </c>
      <c r="C5" s="13" t="s">
        <v>124</v>
      </c>
      <c r="D5" s="12" t="s">
        <v>125</v>
      </c>
      <c r="E5" s="8" t="s">
        <v>126</v>
      </c>
      <c r="F5" s="12" t="s">
        <v>127</v>
      </c>
    </row>
    <row r="6" customFormat="false" ht="26.85" hidden="false" customHeight="false" outlineLevel="0" collapsed="false">
      <c r="A6" s="15" t="s">
        <v>128</v>
      </c>
      <c r="B6" s="7" t="n">
        <v>0.88</v>
      </c>
      <c r="C6" s="16" t="s">
        <v>129</v>
      </c>
      <c r="D6" s="15" t="s">
        <v>130</v>
      </c>
      <c r="E6" s="9" t="s">
        <v>126</v>
      </c>
      <c r="F6" s="15" t="s">
        <v>127</v>
      </c>
    </row>
    <row r="7" customFormat="false" ht="26.85" hidden="false" customHeight="false" outlineLevel="0" collapsed="false">
      <c r="A7" s="12" t="s">
        <v>131</v>
      </c>
      <c r="B7" s="5" t="n">
        <v>0.92</v>
      </c>
      <c r="C7" s="13" t="s">
        <v>132</v>
      </c>
      <c r="D7" s="12" t="s">
        <v>133</v>
      </c>
      <c r="E7" s="8" t="s">
        <v>126</v>
      </c>
      <c r="F7" s="12" t="s">
        <v>127</v>
      </c>
    </row>
    <row r="8" customFormat="false" ht="26.85" hidden="false" customHeight="false" outlineLevel="0" collapsed="false">
      <c r="A8" s="15" t="s">
        <v>134</v>
      </c>
      <c r="B8" s="7" t="n">
        <v>0.98</v>
      </c>
      <c r="C8" s="16" t="s">
        <v>135</v>
      </c>
      <c r="D8" s="15" t="s">
        <v>136</v>
      </c>
      <c r="E8" s="9" t="s">
        <v>126</v>
      </c>
      <c r="F8" s="15" t="s">
        <v>137</v>
      </c>
    </row>
    <row r="9" customFormat="false" ht="26.85" hidden="false" customHeight="false" outlineLevel="0" collapsed="false">
      <c r="A9" s="12" t="s">
        <v>138</v>
      </c>
      <c r="B9" s="5" t="n">
        <v>0.88</v>
      </c>
      <c r="C9" s="13" t="s">
        <v>129</v>
      </c>
      <c r="D9" s="12" t="s">
        <v>139</v>
      </c>
      <c r="E9" s="44" t="s">
        <v>140</v>
      </c>
      <c r="F9" s="12" t="s">
        <v>141</v>
      </c>
    </row>
    <row r="12" customFormat="false" ht="15" hidden="false" customHeight="false" outlineLevel="0" collapsed="false">
      <c r="A12" s="2" t="s">
        <v>142</v>
      </c>
    </row>
    <row r="13" customFormat="false" ht="15" hidden="false" customHeight="false" outlineLevel="0" collapsed="false">
      <c r="A13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2026-06-27T12:32:09Z</dcterms:created>
  <dc:creator>openpyxl</dc:creator>
  <dc:description/>
  <dc:language>en-US</dc:language>
  <cp:lastModifiedBy/>
  <dcterms:modified xsi:type="dcterms:W3CDTF">2026-06-27T12:32:09Z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